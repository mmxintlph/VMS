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70C0"/>
      <sz val="10"/>
    </font>
    <font>
      <name val="Arial"/>
      <sz val="10"/>
    </font>
    <font>
      <name val="Arial"/>
      <b val="1"/>
      <color rgb="001E3A5F"/>
      <sz val="9"/>
    </font>
    <font>
      <name val="Arial"/>
      <i val="1"/>
      <color rgb="007F7F7F"/>
      <sz val="9"/>
    </font>
    <font>
      <name val="Arial"/>
      <b val="1"/>
      <color rgb="001E3A5F"/>
      <sz val="14"/>
    </font>
    <font>
      <name val="Arial"/>
      <color rgb="00595959"/>
      <sz val="9"/>
    </font>
    <font>
      <name val="Arial"/>
      <b val="1"/>
      <sz val="10"/>
    </font>
    <font>
      <name val="Arial"/>
      <b val="1"/>
      <color rgb="001E3A5F"/>
      <sz val="13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22D3EE44"/>
      </patternFill>
    </fill>
    <fill>
      <patternFill patternType="solid">
        <fgColor rgb="6EE7B744"/>
      </patternFill>
    </fill>
    <fill>
      <patternFill patternType="solid">
        <fgColor rgb="A78BFA44"/>
      </patternFill>
    </fill>
    <fill>
      <patternFill patternType="solid">
        <fgColor rgb="FCD34D44"/>
      </patternFill>
    </fill>
    <fill>
      <patternFill patternType="solid">
        <fgColor rgb="F871714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2E75B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2" fontId="6" fillId="3" borderId="2" applyAlignment="1" pivotButton="0" quotePrefix="0" xfId="0">
      <alignment horizontal="center"/>
    </xf>
    <xf numFmtId="9" fontId="6" fillId="3" borderId="2" applyAlignment="1" pivotButton="0" quotePrefix="0" xfId="0">
      <alignment horizontal="center"/>
    </xf>
    <xf numFmtId="49" fontId="6" fillId="3" borderId="2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6" borderId="1" pivotButton="0" quotePrefix="0" xfId="0"/>
    <xf numFmtId="0" fontId="3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8" fillId="0" borderId="0" pivotButton="0" quotePrefix="0" xfId="0"/>
    <xf numFmtId="0" fontId="3" fillId="0" borderId="0" pivotButton="0" quotePrefix="0" xfId="0"/>
    <xf numFmtId="0" fontId="8" fillId="7" borderId="1" pivotButton="0" quotePrefix="0" xfId="0"/>
    <xf numFmtId="0" fontId="8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9" fillId="0" borderId="0" pivotButton="0" quotePrefix="0" xfId="0"/>
    <xf numFmtId="0" fontId="1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22" customWidth="1" min="5" max="5"/>
    <col width="28" customWidth="1" min="6" max="6"/>
    <col width="20" customWidth="1" min="7" max="7"/>
    <col width="14" customWidth="1" min="8" max="8"/>
    <col width="12" customWidth="1" min="9" max="9"/>
    <col width="38" customWidth="1" min="10" max="10"/>
    <col width="13" customWidth="1" min="11" max="11"/>
    <col width="16" customWidth="1" min="12" max="12"/>
  </cols>
  <sheetData>
    <row r="1" ht="30" customHeight="1">
      <c r="A1" s="1" t="inlineStr">
        <is>
          <t>Timestamp</t>
        </is>
      </c>
      <c r="B1" s="1" t="inlineStr">
        <is>
          <t>Login ID</t>
        </is>
      </c>
      <c r="C1" s="1" t="inlineStr">
        <is>
          <t>Date</t>
        </is>
      </c>
      <c r="D1" s="1" t="inlineStr">
        <is>
          <t>Shift</t>
        </is>
      </c>
      <c r="E1" s="1" t="inlineStr">
        <is>
          <t>Full Name</t>
        </is>
      </c>
      <c r="F1" s="1" t="inlineStr">
        <is>
          <t>Email</t>
        </is>
      </c>
      <c r="G1" s="1" t="inlineStr">
        <is>
          <t>Department</t>
        </is>
      </c>
      <c r="H1" s="1" t="inlineStr">
        <is>
          <t>Mood</t>
        </is>
      </c>
      <c r="I1" s="1" t="inlineStr">
        <is>
          <t>Mood Score</t>
        </is>
      </c>
      <c r="J1" s="1" t="inlineStr">
        <is>
          <t>Note</t>
        </is>
      </c>
      <c r="K1" s="1" t="inlineStr">
        <is>
          <t>Week Number</t>
        </is>
      </c>
      <c r="L1" s="1" t="inlineStr">
        <is>
          <t>Month</t>
        </is>
      </c>
    </row>
    <row r="2">
      <c r="A2" s="2" t="n">
        <v>45855.35555555556</v>
      </c>
      <c r="B2" s="3" t="inlineStr">
        <is>
          <t>jcruz</t>
        </is>
      </c>
      <c r="C2" s="4">
        <f>INT(A2)</f>
        <v/>
      </c>
      <c r="D2" s="3" t="inlineStr">
        <is>
          <t>Start of Shift</t>
        </is>
      </c>
      <c r="E2" s="3" t="inlineStr">
        <is>
          <t>Juan Cruz</t>
        </is>
      </c>
      <c r="F2" s="3" t="inlineStr">
        <is>
          <t>jcruz@company.com</t>
        </is>
      </c>
      <c r="G2" s="3" t="inlineStr">
        <is>
          <t>Customer Service</t>
        </is>
      </c>
      <c r="H2" s="3" t="inlineStr">
        <is>
          <t>Focused</t>
        </is>
      </c>
      <c r="I2" s="3" t="n">
        <v>4</v>
      </c>
      <c r="J2" s="3" t="inlineStr">
        <is>
          <t>Ready for the day.</t>
        </is>
      </c>
      <c r="K2" s="5">
        <f>IFERROR(WEEKNUM(C2,2),"")</f>
        <v/>
      </c>
      <c r="L2" s="5">
        <f>IFERROR(TEXT(C2,"MMMM YYYY"),"")</f>
        <v/>
      </c>
    </row>
    <row r="4">
      <c r="A4" s="6" t="inlineStr">
        <is>
          <t>LEGEND</t>
        </is>
      </c>
    </row>
    <row r="5">
      <c r="A5" s="7" t="inlineStr">
        <is>
          <t>Login ID (col B) = Windows workstation login username captured automatically by the app</t>
        </is>
      </c>
    </row>
    <row r="6">
      <c r="A6" s="7" t="inlineStr">
        <is>
          <t>Blue text = values written by MoodMate app  |  Black text = auto-calculated formulas</t>
        </is>
      </c>
    </row>
    <row r="7">
      <c r="A7" s="7" t="inlineStr">
        <is>
          <t>Row 2 is an example entry — the app appends real data from row 3 onward.</t>
        </is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" customWidth="1" min="4" max="4"/>
    <col width="10" customWidth="1" min="5" max="5"/>
    <col width="20" customWidth="1" min="6" max="6"/>
  </cols>
  <sheetData>
    <row r="1">
      <c r="A1" s="8" t="inlineStr">
        <is>
          <t>MoodMate — Summary Dashboard</t>
        </is>
      </c>
    </row>
    <row r="2">
      <c r="A2" s="7" t="inlineStr">
        <is>
          <t>Auto-calculated from the CheckIns tab. Refresh when new entries are added.</t>
        </is>
      </c>
    </row>
    <row r="4" ht="20" customHeight="1">
      <c r="A4" s="9" t="inlineStr">
        <is>
          <t>OVERALL KPIs</t>
        </is>
      </c>
    </row>
    <row r="5" ht="30" customHeight="1">
      <c r="A5" s="10" t="inlineStr">
        <is>
          <t>Total Check-ins</t>
        </is>
      </c>
      <c r="B5" s="10" t="inlineStr">
        <is>
          <t>Avg Mood Score</t>
        </is>
      </c>
      <c r="C5" s="10" t="inlineStr">
        <is>
          <t>% Positive (&gt;=4)</t>
        </is>
      </c>
      <c r="D5" s="10" t="inlineStr">
        <is>
          <t>% At Risk (&lt;=2)</t>
        </is>
      </c>
      <c r="E5" s="10" t="inlineStr">
        <is>
          <t>Unique Employees</t>
        </is>
      </c>
      <c r="F5" s="10" t="inlineStr">
        <is>
          <t>Last Entry Date</t>
        </is>
      </c>
    </row>
    <row r="6" ht="28" customHeight="1">
      <c r="A6" s="11">
        <f>IFERROR(COUNTA(CheckIns!A3:A10000),0)</f>
        <v/>
      </c>
      <c r="B6" s="12">
        <f>IFERROR(AVERAGEIF(CheckIns!H3:H10000,"&lt;&gt;",CheckIns!I3:I10000),0)</f>
        <v/>
      </c>
      <c r="C6" s="13">
        <f>IFERROR(COUNTIF(CheckIns!I3:I10000,"&gt;=4")/COUNTA(CheckIns!I3:I10000),0)</f>
        <v/>
      </c>
      <c r="D6" s="13">
        <f>IFERROR(COUNTIF(CheckIns!I3:I10000,"&lt;=2")/COUNTA(CheckIns!I3:I10000),0)</f>
        <v/>
      </c>
      <c r="E6" s="11">
        <f>IFERROR(SUMPRODUCT(1/COUNTIF(CheckIns!B3:B100,CheckIns!B3:B100)),0)</f>
        <v/>
      </c>
      <c r="F6" s="14">
        <f>IFERROR(TEXT(MAX(CheckIns!C3:C10000),"YYYY-MM-DD"),"")</f>
        <v/>
      </c>
    </row>
    <row r="7">
      <c r="A7" s="9" t="inlineStr">
        <is>
          <t>MOOD BREAKDOWN</t>
        </is>
      </c>
      <c r="E7" s="9" t="inlineStr">
        <is>
          <t>SCORE REFERENCE</t>
        </is>
      </c>
    </row>
    <row r="8">
      <c r="A8" s="15" t="inlineStr">
        <is>
          <t>Mood</t>
        </is>
      </c>
      <c r="B8" s="15" t="inlineStr">
        <is>
          <t>Count</t>
        </is>
      </c>
      <c r="C8" s="15" t="inlineStr">
        <is>
          <t>% of Total</t>
        </is>
      </c>
      <c r="E8" s="15" t="inlineStr">
        <is>
          <t>Score</t>
        </is>
      </c>
      <c r="F8" s="15" t="inlineStr">
        <is>
          <t>Mood</t>
        </is>
      </c>
    </row>
    <row r="9">
      <c r="A9" s="16" t="inlineStr">
        <is>
          <t>Energized</t>
        </is>
      </c>
      <c r="B9" s="17">
        <f>IFERROR(COUNTIF(CheckIns!H3:H10000,"Energized"),0)</f>
        <v/>
      </c>
      <c r="C9" s="18">
        <f>IFERROR(B9/COUNTA(CheckIns!H3:H10000),0)</f>
        <v/>
      </c>
      <c r="E9" s="19" t="inlineStr">
        <is>
          <t>5</t>
        </is>
      </c>
      <c r="F9" s="20" t="inlineStr">
        <is>
          <t>Energized ⚡</t>
        </is>
      </c>
    </row>
    <row r="10">
      <c r="A10" s="21" t="inlineStr">
        <is>
          <t>Focused</t>
        </is>
      </c>
      <c r="B10" s="17">
        <f>IFERROR(COUNTIF(CheckIns!H3:H10000,"Focused"),0)</f>
        <v/>
      </c>
      <c r="C10" s="18">
        <f>IFERROR(B10/COUNTA(CheckIns!H3:H10000),0)</f>
        <v/>
      </c>
      <c r="E10" s="19" t="inlineStr">
        <is>
          <t>4</t>
        </is>
      </c>
      <c r="F10" s="20" t="inlineStr">
        <is>
          <t>Focused 🎯</t>
        </is>
      </c>
    </row>
    <row r="11">
      <c r="A11" s="22" t="inlineStr">
        <is>
          <t>Neutral</t>
        </is>
      </c>
      <c r="B11" s="17">
        <f>IFERROR(COUNTIF(CheckIns!H3:H10000,"Neutral"),0)</f>
        <v/>
      </c>
      <c r="C11" s="18">
        <f>IFERROR(B11/COUNTA(CheckIns!H3:H10000),0)</f>
        <v/>
      </c>
      <c r="E11" s="19" t="inlineStr">
        <is>
          <t>3</t>
        </is>
      </c>
      <c r="F11" s="20" t="inlineStr">
        <is>
          <t>Neutral 😐</t>
        </is>
      </c>
    </row>
    <row r="12">
      <c r="A12" s="23" t="inlineStr">
        <is>
          <t>Stressed</t>
        </is>
      </c>
      <c r="B12" s="17">
        <f>IFERROR(COUNTIF(CheckIns!H3:H10000,"Stressed"),0)</f>
        <v/>
      </c>
      <c r="C12" s="18">
        <f>IFERROR(B12/COUNTA(CheckIns!H3:H10000),0)</f>
        <v/>
      </c>
      <c r="E12" s="19" t="inlineStr">
        <is>
          <t>2</t>
        </is>
      </c>
      <c r="F12" s="20" t="inlineStr">
        <is>
          <t>Stressed 😰</t>
        </is>
      </c>
    </row>
    <row r="13">
      <c r="A13" s="24" t="inlineStr">
        <is>
          <t>Burned Out</t>
        </is>
      </c>
      <c r="B13" s="17">
        <f>IFERROR(COUNTIF(CheckIns!H3:H10000,"Burned Out"),0)</f>
        <v/>
      </c>
      <c r="C13" s="18">
        <f>IFERROR(B13/COUNTA(CheckIns!H3:H10000),0)</f>
        <v/>
      </c>
      <c r="E13" s="19" t="inlineStr">
        <is>
          <t>1</t>
        </is>
      </c>
      <c r="F13" s="20" t="inlineStr">
        <is>
          <t>Burned Out 😔</t>
        </is>
      </c>
    </row>
  </sheetData>
  <mergeCells count="5">
    <mergeCell ref="A2:F2"/>
    <mergeCell ref="E7:F7"/>
    <mergeCell ref="A1:F1"/>
    <mergeCell ref="A4:F4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4" customWidth="1" min="3" max="3"/>
  </cols>
  <sheetData>
    <row r="1">
      <c r="A1" s="25" t="inlineStr">
        <is>
          <t>MoodMate Configuration — IT Admin</t>
        </is>
      </c>
    </row>
    <row r="2">
      <c r="A2" s="7" t="inlineStr">
        <is>
          <t>Fill in the yellow cells, then copy values into the MOODMATE_CONFIG block in moodmate.html.</t>
        </is>
      </c>
    </row>
    <row r="3" ht="22" customHeight="1">
      <c r="A3" s="26" t="inlineStr">
        <is>
          <t>Setting</t>
        </is>
      </c>
      <c r="B3" s="26" t="inlineStr">
        <is>
          <t>Value</t>
        </is>
      </c>
      <c r="C3" s="26" t="inlineStr">
        <is>
          <t>Where to find it</t>
        </is>
      </c>
    </row>
    <row r="4" ht="22" customHeight="1">
      <c r="A4" s="27" t="inlineStr">
        <is>
          <t>Azure AD Client ID</t>
        </is>
      </c>
      <c r="B4" s="28" t="inlineStr">
        <is>
          <t>REPLACE_WITH_CLIENT_ID</t>
        </is>
      </c>
      <c r="C4" s="27" t="inlineStr">
        <is>
          <t>Azure Portal → App Registrations → your app → Overview</t>
        </is>
      </c>
    </row>
    <row r="5" ht="22" customHeight="1">
      <c r="A5" s="27" t="inlineStr">
        <is>
          <t>Azure AD Tenant ID</t>
        </is>
      </c>
      <c r="B5" s="28" t="inlineStr">
        <is>
          <t>REPLACE_WITH_TENANT_ID</t>
        </is>
      </c>
      <c r="C5" s="27" t="inlineStr">
        <is>
          <t>Azure Portal → Azure Active Directory → Overview</t>
        </is>
      </c>
    </row>
    <row r="6" ht="22" customHeight="1">
      <c r="A6" s="27" t="inlineStr">
        <is>
          <t>SharePoint Site URL</t>
        </is>
      </c>
      <c r="B6" s="28" t="inlineStr">
        <is>
          <t>https://yourcompany.sharepoint.com/sites/HR</t>
        </is>
      </c>
      <c r="C6" s="27" t="inlineStr">
        <is>
          <t>Copy from your browser when on the SharePoint site</t>
        </is>
      </c>
    </row>
    <row r="7" ht="22" customHeight="1">
      <c r="A7" s="27" t="inlineStr">
        <is>
          <t>SharePoint Drive Name</t>
        </is>
      </c>
      <c r="B7" s="28" t="inlineStr">
        <is>
          <t>Documents</t>
        </is>
      </c>
      <c r="C7" s="27" t="inlineStr">
        <is>
          <t>Usually 'Documents' — check SharePoint site contents</t>
        </is>
      </c>
    </row>
    <row r="8" ht="22" customHeight="1">
      <c r="A8" s="27" t="inlineStr">
        <is>
          <t>Excel File Path</t>
        </is>
      </c>
      <c r="B8" s="28" t="inlineStr">
        <is>
          <t>/MoodMate/MoodMate_Database.xlsx</t>
        </is>
      </c>
      <c r="C8" s="27" t="inlineStr">
        <is>
          <t>Path inside the Drive where this file is uploaded</t>
        </is>
      </c>
    </row>
    <row r="9" ht="22" customHeight="1">
      <c r="A9" s="27" t="inlineStr">
        <is>
          <t>CheckIns Sheet Name</t>
        </is>
      </c>
      <c r="B9" s="28" t="inlineStr">
        <is>
          <t>CheckIns</t>
        </is>
      </c>
      <c r="C9" s="27" t="inlineStr">
        <is>
          <t>Must match the tab name exactly (case-sensitive)</t>
        </is>
      </c>
    </row>
    <row r="10" ht="22" customHeight="1">
      <c r="A10" s="27" t="inlineStr">
        <is>
          <t>Login ID Source</t>
        </is>
      </c>
      <c r="B10" s="28" t="inlineStr">
        <is>
          <t>AD sAMAccountName (auto-captured)</t>
        </is>
      </c>
      <c r="C10" s="27" t="inlineStr">
        <is>
          <t>The app reads currentAccount.username from the Windows AD session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2026-07-17T10:04:52Z</dcterms:created>
  <dcterms:modified xmlns:dcterms="http://purl.org/dc/terms/" xmlns:xsi="http://www.w3.org/2001/XMLSchema-instance" xsi:type="dcterms:W3CDTF">2026-07-17T10:04:52Z</dcterms:modified>
</cp:coreProperties>
</file>